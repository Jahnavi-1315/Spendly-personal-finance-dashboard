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7E1DB51-15EF-418B-8D40-13048F185C40}" xr6:coauthVersionLast="47" xr6:coauthVersionMax="47" xr10:uidLastSave="{00000000-0000-0000-0000-000000000000}"/>
  <bookViews>
    <workbookView xWindow="-110" yWindow="-110" windowWidth="19420" windowHeight="10420" xr2:uid="{93D9D0B5-ED79-4ECE-B454-8C5EFBE81F29}"/>
  </bookViews>
  <sheets>
    <sheet name="spendly_data" sheetId="1" r:id="rId1"/>
    <sheet name="Dashboard Metrics" sheetId="2" r:id="rId2"/>
  </sheets>
  <definedNames>
    <definedName name="SpendlyData">Table1[]</definedName>
  </definedNames>
  <calcPr calcId="0"/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<sst xmlns="http://schemas.openxmlformats.org/spreadsheetml/2006/main" count="555" uniqueCount="134">
  <si>
    <t>Transaction_ID</t>
  </si>
  <si>
    <t>Date</t>
  </si>
  <si>
    <t>Category</t>
  </si>
  <si>
    <t>Subcategory</t>
  </si>
  <si>
    <t>Amount</t>
  </si>
  <si>
    <t>Payment_Method</t>
  </si>
  <si>
    <t>Type</t>
  </si>
  <si>
    <t>City</t>
  </si>
  <si>
    <t>SP001</t>
  </si>
  <si>
    <t>Food</t>
  </si>
  <si>
    <t>Restaurants</t>
  </si>
  <si>
    <t>UPI</t>
  </si>
  <si>
    <t>Lifestyle</t>
  </si>
  <si>
    <t>Hyderabad</t>
  </si>
  <si>
    <t>SP002</t>
  </si>
  <si>
    <t>Bills</t>
  </si>
  <si>
    <t>Electricity</t>
  </si>
  <si>
    <t>Essential</t>
  </si>
  <si>
    <t>SP003</t>
  </si>
  <si>
    <t>Fashion</t>
  </si>
  <si>
    <t>Clothing</t>
  </si>
  <si>
    <t>Card</t>
  </si>
  <si>
    <t>SP004</t>
  </si>
  <si>
    <t>Cafes</t>
  </si>
  <si>
    <t>SP005</t>
  </si>
  <si>
    <t>Travel</t>
  </si>
  <si>
    <t>Cabs</t>
  </si>
  <si>
    <t>SP006</t>
  </si>
  <si>
    <t>Beauty</t>
  </si>
  <si>
    <t>Skincare</t>
  </si>
  <si>
    <t>SP007</t>
  </si>
  <si>
    <t>Shopping</t>
  </si>
  <si>
    <t>Online Shopping</t>
  </si>
  <si>
    <t>SP008</t>
  </si>
  <si>
    <t>Entertainment</t>
  </si>
  <si>
    <t>Movies</t>
  </si>
  <si>
    <t>SP009</t>
  </si>
  <si>
    <t>Internet</t>
  </si>
  <si>
    <t>SP010</t>
  </si>
  <si>
    <t>Groceries</t>
  </si>
  <si>
    <t>SP011</t>
  </si>
  <si>
    <t>Bangalore</t>
  </si>
  <si>
    <t>SP012</t>
  </si>
  <si>
    <t>SP013</t>
  </si>
  <si>
    <t>SP014</t>
  </si>
  <si>
    <t>SP015</t>
  </si>
  <si>
    <t>SP016</t>
  </si>
  <si>
    <t>SP017</t>
  </si>
  <si>
    <t>SP018</t>
  </si>
  <si>
    <t>Concerts</t>
  </si>
  <si>
    <t>SP019</t>
  </si>
  <si>
    <t>SP020</t>
  </si>
  <si>
    <t>SP021</t>
  </si>
  <si>
    <t>Flights</t>
  </si>
  <si>
    <t>Chennai</t>
  </si>
  <si>
    <t>SP022</t>
  </si>
  <si>
    <t>SP023</t>
  </si>
  <si>
    <t>SP024</t>
  </si>
  <si>
    <t>SP025</t>
  </si>
  <si>
    <t>SP026</t>
  </si>
  <si>
    <t>Haircare</t>
  </si>
  <si>
    <t>SP027</t>
  </si>
  <si>
    <t>SP028</t>
  </si>
  <si>
    <t>SP029</t>
  </si>
  <si>
    <t>SP030</t>
  </si>
  <si>
    <t>SP031</t>
  </si>
  <si>
    <t>Mumbai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</si>
  <si>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</si>
  <si>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</si>
  <si>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</si>
  <si>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</si>
  <si>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</si>
  <si>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</si>
  <si>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</si>
  <si>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</si>
  <si>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</si>
  <si>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</si>
  <si>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Delhi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</si>
  <si>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</si>
  <si>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</si>
  <si>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</si>
  <si>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</si>
  <si>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</si>
  <si>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</si>
  <si>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</si>
  <si>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</si>
  <si>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</si>
  <si>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</si>
  <si>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</si>
  <si>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</si>
  <si>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</si>
  <si>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</si>
  <si>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</si>
  <si>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</si>
  <si>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</si>
  <si>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</si>
  <si>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</si>
  <si>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</si>
  <si>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</si>
  <si>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</si>
  <si>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</si>
  <si>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</si>
  <si>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</si>
  <si>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</si>
  <si>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</si>
  <si>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</si>
  <si>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</si>
  <si>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</si>
  <si>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</si>
  <si>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</si>
  <si>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</si>
  <si>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</si>
  <si>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</si>
  <si>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</si>
  <si>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</si>
  <si>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</si>
  <si>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</si>
  <si>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</si>
  <si>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</si>
  <si>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</si>
  <si>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</si>
  <si>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</si>
  <si>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</si>
  <si>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</si>
  <si>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</si>
  <si>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</si>
  <si>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</si>
  <si>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Metric</t>
  </si>
  <si>
    <t>Value</t>
  </si>
  <si>
    <t>Total Transactions</t>
  </si>
  <si>
    <t>Average Transaction</t>
  </si>
  <si>
    <t>Highest Transaction</t>
  </si>
  <si>
    <t>Lowest Transaction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</si>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</sst>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3391A-A6B6-4430-859F-E1B4676FB429}" name="Table1" displayName="Table1" ref="A1:H91" totalsRowShown="0">
  <autoFilter ref="A1:H91" xr:uid="{CA43391A-A6B6-4430-859F-E1B4676FB429}"/>
  <tableColumns count="8">
    <tableColumn id="1" xr3:uid="{E6B0D5A0-61C0-4C4D-B8CE-2E8C6B11ADB1}" name="Transaction_ID"/>
    <tableColumn id="2" xr3:uid="{49B1F5B3-7F72-4D19-A61A-8F556C1E9197}" name="Date" dataDxfId="0"/>
    <tableColumn id="3" xr3:uid="{B6A91CA5-6630-454C-890D-A127132F4FF5}" name="Category"/>
    <tableColumn id="4" xr3:uid="{7BA251CB-640E-481D-B557-21114AC63CA8}" name="Subcategory"/>
    <tableColumn id="5" xr3:uid="{53301A27-F709-4F44-B3F7-865C4CD0B8B5}" name="Amount"/>
    <tableColumn id="6" xr3:uid="{E957AF5F-211F-4086-A3E3-36E3DE1D6930}" name="Payment_Method"/>
    <tableColumn id="7" xr3:uid="{E0D4C4F7-F7AC-4F98-A54E-07E23F1A3EB4}" name="Type"/>
    <tableColumn id="8" xr3:uid="{996D9DC4-CFBC-4307-8BDA-B3069C5336EE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A2D0-0E94-478F-AEEE-5515FAA0ACFF}">
  <dimension ref="A1:H91"/>
  <sheetViews>
    <sheetView tabSelected="1" workbookViewId="0">
      <selection activeCell="I1" sqref="I1"/>
    </sheetView>
  </sheetViews>
  <sheetFormatPr defaultRowHeight="14.5" x14ac:dyDescent="0.35"/>
  <cols>
    <col min="1" max="1" width="15.453125" customWidth="1"/>
    <col min="2" max="2" width="12.1796875" customWidth="1"/>
    <col min="3" max="3" width="10.26953125" customWidth="1"/>
    <col min="4" max="4" width="13.08984375" customWidth="1"/>
    <col min="5" max="5" width="9.6328125" customWidth="1"/>
    <col min="6" max="6" width="18" customWidth="1"/>
    <col min="8" max="8" width="1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46025</v>
      </c>
      <c r="C2" t="s">
        <v>9</v>
      </c>
      <c r="D2" t="s">
        <v>10</v>
      </c>
      <c r="E2">
        <v>850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B3" s="1">
        <v>46027</v>
      </c>
      <c r="C3" t="s">
        <v>15</v>
      </c>
      <c r="D3" t="s">
        <v>16</v>
      </c>
      <c r="E3">
        <v>1450</v>
      </c>
      <c r="F3" t="s">
        <v>11</v>
      </c>
      <c r="G3" t="s">
        <v>17</v>
      </c>
      <c r="H3" t="s">
        <v>13</v>
      </c>
    </row>
    <row r="4" spans="1:8" x14ac:dyDescent="0.35">
      <c r="A4" t="s">
        <v>18</v>
      </c>
      <c r="B4" s="1">
        <v>46029</v>
      </c>
      <c r="C4" t="s">
        <v>19</v>
      </c>
      <c r="D4" t="s">
        <v>20</v>
      </c>
      <c r="E4">
        <v>2200</v>
      </c>
      <c r="F4" t="s">
        <v>21</v>
      </c>
      <c r="G4" t="s">
        <v>12</v>
      </c>
      <c r="H4" t="s">
        <v>13</v>
      </c>
    </row>
    <row r="5" spans="1:8" x14ac:dyDescent="0.35">
      <c r="A5" t="s">
        <v>22</v>
      </c>
      <c r="B5" s="1">
        <v>46031</v>
      </c>
      <c r="C5" t="s">
        <v>9</v>
      </c>
      <c r="D5" t="s">
        <v>23</v>
      </c>
      <c r="E5">
        <v>480</v>
      </c>
      <c r="F5" t="s">
        <v>11</v>
      </c>
      <c r="G5" t="s">
        <v>12</v>
      </c>
      <c r="H5" t="s">
        <v>13</v>
      </c>
    </row>
    <row r="6" spans="1:8" x14ac:dyDescent="0.35">
      <c r="A6" t="s">
        <v>24</v>
      </c>
      <c r="B6" s="1">
        <v>46034</v>
      </c>
      <c r="C6" t="s">
        <v>25</v>
      </c>
      <c r="D6" t="s">
        <v>26</v>
      </c>
      <c r="E6">
        <v>620</v>
      </c>
      <c r="F6" t="s">
        <v>11</v>
      </c>
      <c r="G6" t="s">
        <v>17</v>
      </c>
      <c r="H6" t="s">
        <v>13</v>
      </c>
    </row>
    <row r="7" spans="1:8" x14ac:dyDescent="0.35">
      <c r="A7" t="s">
        <v>27</v>
      </c>
      <c r="B7" s="1">
        <v>46037</v>
      </c>
      <c r="C7" t="s">
        <v>28</v>
      </c>
      <c r="D7" t="s">
        <v>29</v>
      </c>
      <c r="E7">
        <v>1350</v>
      </c>
      <c r="F7" t="s">
        <v>21</v>
      </c>
      <c r="G7" t="s">
        <v>12</v>
      </c>
      <c r="H7" t="s">
        <v>13</v>
      </c>
    </row>
    <row r="8" spans="1:8" x14ac:dyDescent="0.35">
      <c r="A8" t="s">
        <v>30</v>
      </c>
      <c r="B8" s="1">
        <v>46040</v>
      </c>
      <c r="C8" t="s">
        <v>31</v>
      </c>
      <c r="D8" t="s">
        <v>32</v>
      </c>
      <c r="E8">
        <v>2800</v>
      </c>
      <c r="F8" t="s">
        <v>21</v>
      </c>
      <c r="G8" t="s">
        <v>12</v>
      </c>
      <c r="H8" t="s">
        <v>13</v>
      </c>
    </row>
    <row r="9" spans="1:8" x14ac:dyDescent="0.35">
      <c r="A9" t="s">
        <v>33</v>
      </c>
      <c r="B9" s="1">
        <v>46043</v>
      </c>
      <c r="C9" t="s">
        <v>34</v>
      </c>
      <c r="D9" t="s">
        <v>35</v>
      </c>
      <c r="E9">
        <v>650</v>
      </c>
      <c r="F9" t="s">
        <v>11</v>
      </c>
      <c r="G9" t="s">
        <v>12</v>
      </c>
      <c r="H9" t="s">
        <v>13</v>
      </c>
    </row>
    <row r="10" spans="1:8" x14ac:dyDescent="0.35">
      <c r="A10" t="s">
        <v>36</v>
      </c>
      <c r="B10" s="1">
        <v>46046</v>
      </c>
      <c r="C10" t="s">
        <v>15</v>
      </c>
      <c r="D10" t="s">
        <v>37</v>
      </c>
      <c r="E10">
        <v>899</v>
      </c>
      <c r="F10" t="s">
        <v>11</v>
      </c>
      <c r="G10" t="s">
        <v>17</v>
      </c>
      <c r="H10" t="s">
        <v>13</v>
      </c>
    </row>
    <row r="11" spans="1:8" x14ac:dyDescent="0.35">
      <c r="A11" t="s">
        <v>38</v>
      </c>
      <c r="B11" s="1">
        <v>46049</v>
      </c>
      <c r="C11" t="s">
        <v>9</v>
      </c>
      <c r="D11" t="s">
        <v>39</v>
      </c>
      <c r="E11">
        <v>1850</v>
      </c>
      <c r="F11" t="s">
        <v>21</v>
      </c>
      <c r="G11" t="s">
        <v>17</v>
      </c>
      <c r="H11" t="s">
        <v>13</v>
      </c>
    </row>
    <row r="12" spans="1:8" x14ac:dyDescent="0.35">
      <c r="A12" t="s">
        <v>40</v>
      </c>
      <c r="B12" s="1">
        <v>46055</v>
      </c>
      <c r="C12" t="s">
        <v>9</v>
      </c>
      <c r="D12" t="s">
        <v>10</v>
      </c>
      <c r="E12">
        <v>1250</v>
      </c>
      <c r="F12" t="s">
        <v>11</v>
      </c>
      <c r="G12" t="s">
        <v>12</v>
      </c>
      <c r="H12" t="s">
        <v>41</v>
      </c>
    </row>
    <row r="13" spans="1:8" x14ac:dyDescent="0.35">
      <c r="A13" t="s">
        <v>42</v>
      </c>
      <c r="B13" s="1">
        <v>46057</v>
      </c>
      <c r="C13" t="s">
        <v>15</v>
      </c>
      <c r="D13" t="s">
        <v>16</v>
      </c>
      <c r="E13">
        <v>1620</v>
      </c>
      <c r="F13" t="s">
        <v>11</v>
      </c>
      <c r="G13" t="s">
        <v>17</v>
      </c>
      <c r="H13" t="s">
        <v>41</v>
      </c>
    </row>
    <row r="14" spans="1:8" x14ac:dyDescent="0.35">
      <c r="A14" t="s">
        <v>43</v>
      </c>
      <c r="B14" s="1">
        <v>46059</v>
      </c>
      <c r="C14" t="s">
        <v>19</v>
      </c>
      <c r="D14" t="s">
        <v>20</v>
      </c>
      <c r="E14">
        <v>3500</v>
      </c>
      <c r="F14" t="s">
        <v>21</v>
      </c>
      <c r="G14" t="s">
        <v>12</v>
      </c>
      <c r="H14" t="s">
        <v>41</v>
      </c>
    </row>
    <row r="15" spans="1:8" x14ac:dyDescent="0.35">
      <c r="A15" t="s">
        <v>44</v>
      </c>
      <c r="B15" s="1">
        <v>46061</v>
      </c>
      <c r="C15" t="s">
        <v>9</v>
      </c>
      <c r="D15" t="s">
        <v>23</v>
      </c>
      <c r="E15">
        <v>720</v>
      </c>
      <c r="F15" t="s">
        <v>11</v>
      </c>
      <c r="G15" t="s">
        <v>12</v>
      </c>
      <c r="H15" t="s">
        <v>41</v>
      </c>
    </row>
    <row r="16" spans="1:8" x14ac:dyDescent="0.35">
      <c r="A16" t="s">
        <v>45</v>
      </c>
      <c r="B16" s="1">
        <v>46064</v>
      </c>
      <c r="C16" t="s">
        <v>25</v>
      </c>
      <c r="D16" t="s">
        <v>26</v>
      </c>
      <c r="E16">
        <v>540</v>
      </c>
      <c r="F16" t="s">
        <v>11</v>
      </c>
      <c r="G16" t="s">
        <v>17</v>
      </c>
      <c r="H16" t="s">
        <v>41</v>
      </c>
    </row>
    <row r="17" spans="1:8" x14ac:dyDescent="0.35">
      <c r="A17" t="s">
        <v>46</v>
      </c>
      <c r="B17" s="1">
        <v>46067</v>
      </c>
      <c r="C17" t="s">
        <v>28</v>
      </c>
      <c r="D17" t="s">
        <v>29</v>
      </c>
      <c r="E17">
        <v>1850</v>
      </c>
      <c r="F17" t="s">
        <v>21</v>
      </c>
      <c r="G17" t="s">
        <v>12</v>
      </c>
      <c r="H17" t="s">
        <v>41</v>
      </c>
    </row>
    <row r="18" spans="1:8" x14ac:dyDescent="0.35">
      <c r="A18" t="s">
        <v>47</v>
      </c>
      <c r="B18" s="1">
        <v>46070</v>
      </c>
      <c r="C18" t="s">
        <v>31</v>
      </c>
      <c r="D18" t="s">
        <v>32</v>
      </c>
      <c r="E18">
        <v>4200</v>
      </c>
      <c r="F18" t="s">
        <v>21</v>
      </c>
      <c r="G18" t="s">
        <v>12</v>
      </c>
      <c r="H18" t="s">
        <v>41</v>
      </c>
    </row>
    <row r="19" spans="1:8" x14ac:dyDescent="0.35">
      <c r="A19" t="s">
        <v>48</v>
      </c>
      <c r="B19" s="1">
        <v>46073</v>
      </c>
      <c r="C19" t="s">
        <v>34</v>
      </c>
      <c r="D19" t="s">
        <v>49</v>
      </c>
      <c r="E19">
        <v>2200</v>
      </c>
      <c r="F19" t="s">
        <v>11</v>
      </c>
      <c r="G19" t="s">
        <v>12</v>
      </c>
      <c r="H19" t="s">
        <v>41</v>
      </c>
    </row>
    <row r="20" spans="1:8" x14ac:dyDescent="0.35">
      <c r="A20" t="s">
        <v>50</v>
      </c>
      <c r="B20" s="1">
        <v>46076</v>
      </c>
      <c r="C20" t="s">
        <v>15</v>
      </c>
      <c r="D20" t="s">
        <v>37</v>
      </c>
      <c r="E20">
        <v>999</v>
      </c>
      <c r="F20" t="s">
        <v>11</v>
      </c>
      <c r="G20" t="s">
        <v>17</v>
      </c>
      <c r="H20" t="s">
        <v>41</v>
      </c>
    </row>
    <row r="21" spans="1:8" x14ac:dyDescent="0.35">
      <c r="A21" t="s">
        <v>51</v>
      </c>
      <c r="B21" s="1">
        <v>46079</v>
      </c>
      <c r="C21" t="s">
        <v>9</v>
      </c>
      <c r="D21" t="s">
        <v>39</v>
      </c>
      <c r="E21">
        <v>2400</v>
      </c>
      <c r="F21" t="s">
        <v>21</v>
      </c>
      <c r="G21" t="s">
        <v>17</v>
      </c>
      <c r="H21" t="s">
        <v>41</v>
      </c>
    </row>
    <row r="22" spans="1:8" x14ac:dyDescent="0.35">
      <c r="A22" t="s">
        <v>52</v>
      </c>
      <c r="B22" s="1">
        <v>46082</v>
      </c>
      <c r="C22" t="s">
        <v>25</v>
      </c>
      <c r="D22" t="s">
        <v>53</v>
      </c>
      <c r="E22">
        <v>6500</v>
      </c>
      <c r="F22" t="s">
        <v>21</v>
      </c>
      <c r="G22" t="s">
        <v>12</v>
      </c>
      <c r="H22" t="s">
        <v>54</v>
      </c>
    </row>
    <row r="23" spans="1:8" x14ac:dyDescent="0.35">
      <c r="A23" t="s">
        <v>55</v>
      </c>
      <c r="B23" s="1">
        <v>46085</v>
      </c>
      <c r="C23" t="s">
        <v>9</v>
      </c>
      <c r="D23" t="s">
        <v>10</v>
      </c>
      <c r="E23">
        <v>980</v>
      </c>
      <c r="F23" t="s">
        <v>11</v>
      </c>
      <c r="G23" t="s">
        <v>12</v>
      </c>
      <c r="H23" t="s">
        <v>54</v>
      </c>
    </row>
    <row r="24" spans="1:8" x14ac:dyDescent="0.35">
      <c r="A24" t="s">
        <v>56</v>
      </c>
      <c r="B24" s="1">
        <v>46087</v>
      </c>
      <c r="C24" t="s">
        <v>15</v>
      </c>
      <c r="D24" t="s">
        <v>16</v>
      </c>
      <c r="E24">
        <v>1380</v>
      </c>
      <c r="F24" t="s">
        <v>11</v>
      </c>
      <c r="G24" t="s">
        <v>17</v>
      </c>
      <c r="H24" t="s">
        <v>54</v>
      </c>
    </row>
    <row r="25" spans="1:8" x14ac:dyDescent="0.35">
      <c r="A25" t="s">
        <v>57</v>
      </c>
      <c r="B25" s="1">
        <v>46090</v>
      </c>
      <c r="C25" t="s">
        <v>19</v>
      </c>
      <c r="D25" t="s">
        <v>20</v>
      </c>
      <c r="E25">
        <v>2700</v>
      </c>
      <c r="F25" t="s">
        <v>21</v>
      </c>
      <c r="G25" t="s">
        <v>12</v>
      </c>
      <c r="H25" t="s">
        <v>54</v>
      </c>
    </row>
    <row r="26" spans="1:8" x14ac:dyDescent="0.35">
      <c r="A26" t="s">
        <v>58</v>
      </c>
      <c r="B26" s="1">
        <v>46092</v>
      </c>
      <c r="C26" t="s">
        <v>9</v>
      </c>
      <c r="D26" t="s">
        <v>23</v>
      </c>
      <c r="E26">
        <v>550</v>
      </c>
      <c r="F26" t="s">
        <v>11</v>
      </c>
      <c r="G26" t="s">
        <v>12</v>
      </c>
      <c r="H26" t="s">
        <v>54</v>
      </c>
    </row>
    <row r="27" spans="1:8" x14ac:dyDescent="0.35">
      <c r="A27" t="s">
        <v>59</v>
      </c>
      <c r="B27" s="1">
        <v>46095</v>
      </c>
      <c r="C27" t="s">
        <v>28</v>
      </c>
      <c r="D27" t="s">
        <v>60</v>
      </c>
      <c r="E27">
        <v>1600</v>
      </c>
      <c r="F27" t="s">
        <v>21</v>
      </c>
      <c r="G27" t="s">
        <v>12</v>
      </c>
      <c r="H27" t="s">
        <v>54</v>
      </c>
    </row>
    <row r="28" spans="1:8" x14ac:dyDescent="0.35">
      <c r="A28" t="s">
        <v>61</v>
      </c>
      <c r="B28" s="1">
        <v>46098</v>
      </c>
      <c r="C28" t="s">
        <v>31</v>
      </c>
      <c r="D28" t="s">
        <v>32</v>
      </c>
      <c r="E28">
        <v>3100</v>
      </c>
      <c r="F28" t="s">
        <v>21</v>
      </c>
      <c r="G28" t="s">
        <v>12</v>
      </c>
      <c r="H28" t="s">
        <v>54</v>
      </c>
    </row>
    <row r="29" spans="1:8" x14ac:dyDescent="0.35">
      <c r="A29" t="s">
        <v>62</v>
      </c>
      <c r="B29" s="1">
        <v>46101</v>
      </c>
      <c r="C29" t="s">
        <v>34</v>
      </c>
      <c r="D29" t="s">
        <v>35</v>
      </c>
      <c r="E29">
        <v>750</v>
      </c>
      <c r="F29" t="s">
        <v>11</v>
      </c>
      <c r="G29" t="s">
        <v>12</v>
      </c>
      <c r="H29" t="s">
        <v>54</v>
      </c>
    </row>
    <row r="30" spans="1:8" x14ac:dyDescent="0.35">
      <c r="A30" t="s">
        <v>63</v>
      </c>
      <c r="B30" s="1">
        <v>46104</v>
      </c>
      <c r="C30" t="s">
        <v>15</v>
      </c>
      <c r="D30" t="s">
        <v>37</v>
      </c>
      <c r="E30">
        <v>899</v>
      </c>
      <c r="F30" t="s">
        <v>11</v>
      </c>
      <c r="G30" t="s">
        <v>17</v>
      </c>
      <c r="H30" t="s">
        <v>54</v>
      </c>
    </row>
    <row r="31" spans="1:8" x14ac:dyDescent="0.35">
      <c r="A31" t="s">
        <v>64</v>
      </c>
      <c r="B31" s="1">
        <v>46108</v>
      </c>
      <c r="C31" t="s">
        <v>9</v>
      </c>
      <c r="D31" t="s">
        <v>39</v>
      </c>
      <c r="E31">
        <v>2100</v>
      </c>
      <c r="F31" t="s">
        <v>21</v>
      </c>
      <c r="G31" t="s">
        <v>17</v>
      </c>
      <c r="H31" t="s">
        <v>54</v>
      </c>
    </row>
    <row r="32" spans="1:8" x14ac:dyDescent="0.35">
      <c r="A32" t="s">
        <v>65</v>
      </c>
      <c r="B32" s="1">
        <v>46114</v>
      </c>
      <c r="C32" t="s">
        <v>9</v>
      </c>
      <c r="D32" t="s">
        <v>10</v>
      </c>
      <c r="E32">
        <v>1450</v>
      </c>
      <c r="F32" t="s">
        <v>11</v>
      </c>
      <c r="G32" t="s">
        <v>12</v>
      </c>
      <c r="H32" t="s">
        <v>66</v>
      </c>
    </row>
    <row r="33" spans="1:8" x14ac:dyDescent="0.35">
      <c r="A33" t="s">
        <v>67</v>
      </c>
      <c r="B33" s="1">
        <v>46117</v>
      </c>
      <c r="C33" t="s">
        <v>15</v>
      </c>
      <c r="D33" t="s">
        <v>16</v>
      </c>
      <c r="E33">
        <v>1750</v>
      </c>
      <c r="F33" t="s">
        <v>11</v>
      </c>
      <c r="G33" t="s">
        <v>17</v>
      </c>
      <c r="H33" t="s">
        <v>66</v>
      </c>
    </row>
    <row r="34" spans="1:8" x14ac:dyDescent="0.35">
      <c r="A34" t="s">
        <v>68</v>
      </c>
      <c r="B34" s="1">
        <v>46119</v>
      </c>
      <c r="C34" t="s">
        <v>19</v>
      </c>
      <c r="D34" t="s">
        <v>20</v>
      </c>
      <c r="E34">
        <v>4800</v>
      </c>
      <c r="F34" t="s">
        <v>21</v>
      </c>
      <c r="G34" t="s">
        <v>12</v>
      </c>
      <c r="H34" t="s">
        <v>66</v>
      </c>
    </row>
    <row r="35" spans="1:8" x14ac:dyDescent="0.35">
      <c r="A35" t="s">
        <v>69</v>
      </c>
      <c r="B35" s="1">
        <v>46122</v>
      </c>
      <c r="C35" t="s">
        <v>9</v>
      </c>
      <c r="D35" t="s">
        <v>23</v>
      </c>
      <c r="E35">
        <v>850</v>
      </c>
      <c r="F35" t="s">
        <v>11</v>
      </c>
      <c r="G35" t="s">
        <v>12</v>
      </c>
      <c r="H35" t="s">
        <v>66</v>
      </c>
    </row>
    <row r="36" spans="1:8" x14ac:dyDescent="0.35">
      <c r="A36" t="s">
        <v>70</v>
      </c>
      <c r="B36" s="1">
        <v>46124</v>
      </c>
      <c r="C36" t="s">
        <v>25</v>
      </c>
      <c r="D36" t="s">
        <v>26</v>
      </c>
      <c r="E36">
        <v>780</v>
      </c>
      <c r="F36" t="s">
        <v>11</v>
      </c>
      <c r="G36" t="s">
        <v>17</v>
      </c>
      <c r="H36" t="s">
        <v>66</v>
      </c>
    </row>
    <row r="37" spans="1:8" x14ac:dyDescent="0.35">
      <c r="A37" t="s">
        <v>71</v>
      </c>
      <c r="B37" s="1">
        <v>46127</v>
      </c>
      <c r="C37" t="s">
        <v>28</v>
      </c>
      <c r="D37" t="s">
        <v>29</v>
      </c>
      <c r="E37">
        <v>2200</v>
      </c>
      <c r="F37" t="s">
        <v>21</v>
      </c>
      <c r="G37" t="s">
        <v>12</v>
      </c>
      <c r="H37" t="s">
        <v>66</v>
      </c>
    </row>
    <row r="38" spans="1:8" x14ac:dyDescent="0.35">
      <c r="A38" t="s">
        <v>72</v>
      </c>
      <c r="B38" s="1">
        <v>46130</v>
      </c>
      <c r="C38" t="s">
        <v>31</v>
      </c>
      <c r="D38" t="s">
        <v>32</v>
      </c>
      <c r="E38">
        <v>3900</v>
      </c>
      <c r="F38" t="s">
        <v>21</v>
      </c>
      <c r="G38" t="s">
        <v>12</v>
      </c>
      <c r="H38" t="s">
        <v>66</v>
      </c>
    </row>
    <row r="39" spans="1:8" x14ac:dyDescent="0.35">
      <c r="A39" t="s">
        <v>73</v>
      </c>
      <c r="B39" s="1">
        <v>46133</v>
      </c>
      <c r="C39" t="s">
        <v>34</v>
      </c>
      <c r="D39" t="s">
        <v>35</v>
      </c>
      <c r="E39">
        <v>900</v>
      </c>
      <c r="F39" t="s">
        <v>11</v>
      </c>
      <c r="G39" t="s">
        <v>12</v>
      </c>
      <c r="H39" t="s">
        <v>66</v>
      </c>
    </row>
    <row r="40" spans="1:8" x14ac:dyDescent="0.35">
      <c r="A40" t="s">
        <v>74</v>
      </c>
      <c r="B40" s="1">
        <v>46136</v>
      </c>
      <c r="C40" t="s">
        <v>15</v>
      </c>
      <c r="D40" t="s">
        <v>37</v>
      </c>
      <c r="E40">
        <v>1099</v>
      </c>
      <c r="F40" t="s">
        <v>11</v>
      </c>
      <c r="G40" t="s">
        <v>17</v>
      </c>
      <c r="H40" t="s">
        <v>66</v>
      </c>
    </row>
    <row r="41" spans="1:8" x14ac:dyDescent="0.35">
      <c r="A41" t="s">
        <v>75</v>
      </c>
      <c r="B41" s="1">
        <v>46139</v>
      </c>
      <c r="C41" t="s">
        <v>9</v>
      </c>
      <c r="D41" t="s">
        <v>39</v>
      </c>
      <c r="E41">
        <v>2650</v>
      </c>
      <c r="F41" t="s">
        <v>21</v>
      </c>
      <c r="G41" t="s">
        <v>17</v>
      </c>
      <c r="H41" t="s">
        <v>66</v>
      </c>
    </row>
    <row r="42" spans="1:8" x14ac:dyDescent="0.35">
      <c r="A42" t="s">
        <v>76</v>
      </c>
      <c r="B42" s="1">
        <v>46144</v>
      </c>
      <c r="C42" t="s">
        <v>25</v>
      </c>
      <c r="D42" t="s">
        <v>53</v>
      </c>
      <c r="E42">
        <v>7200</v>
      </c>
      <c r="F42" t="s">
        <v>21</v>
      </c>
      <c r="G42" t="s">
        <v>12</v>
      </c>
      <c r="H42" t="s">
        <v>77</v>
      </c>
    </row>
    <row r="43" spans="1:8" x14ac:dyDescent="0.35">
      <c r="A43" t="s">
        <v>78</v>
      </c>
      <c r="B43" s="1">
        <v>46147</v>
      </c>
      <c r="C43" t="s">
        <v>9</v>
      </c>
      <c r="D43" t="s">
        <v>10</v>
      </c>
      <c r="E43">
        <v>1100</v>
      </c>
      <c r="F43" t="s">
        <v>11</v>
      </c>
      <c r="G43" t="s">
        <v>12</v>
      </c>
      <c r="H43" t="s">
        <v>77</v>
      </c>
    </row>
    <row r="44" spans="1:8" x14ac:dyDescent="0.35">
      <c r="A44" t="s">
        <v>79</v>
      </c>
      <c r="B44" s="1">
        <v>46149</v>
      </c>
      <c r="C44" t="s">
        <v>15</v>
      </c>
      <c r="D44" t="s">
        <v>16</v>
      </c>
      <c r="E44">
        <v>1520</v>
      </c>
      <c r="F44" t="s">
        <v>11</v>
      </c>
      <c r="G44" t="s">
        <v>17</v>
      </c>
      <c r="H44" t="s">
        <v>77</v>
      </c>
    </row>
    <row r="45" spans="1:8" x14ac:dyDescent="0.35">
      <c r="A45" t="s">
        <v>80</v>
      </c>
      <c r="B45" s="1">
        <v>46152</v>
      </c>
      <c r="C45" t="s">
        <v>19</v>
      </c>
      <c r="D45" t="s">
        <v>20</v>
      </c>
      <c r="E45">
        <v>3200</v>
      </c>
      <c r="F45" t="s">
        <v>21</v>
      </c>
      <c r="G45" t="s">
        <v>12</v>
      </c>
      <c r="H45" t="s">
        <v>77</v>
      </c>
    </row>
    <row r="46" spans="1:8" x14ac:dyDescent="0.35">
      <c r="A46" t="s">
        <v>81</v>
      </c>
      <c r="B46" s="1">
        <v>46154</v>
      </c>
      <c r="C46" t="s">
        <v>9</v>
      </c>
      <c r="D46" t="s">
        <v>23</v>
      </c>
      <c r="E46">
        <v>620</v>
      </c>
      <c r="F46" t="s">
        <v>11</v>
      </c>
      <c r="G46" t="s">
        <v>12</v>
      </c>
      <c r="H46" t="s">
        <v>77</v>
      </c>
    </row>
    <row r="47" spans="1:8" x14ac:dyDescent="0.35">
      <c r="A47" t="s">
        <v>82</v>
      </c>
      <c r="B47" s="1">
        <v>46157</v>
      </c>
      <c r="C47" t="s">
        <v>28</v>
      </c>
      <c r="D47" t="s">
        <v>60</v>
      </c>
      <c r="E47">
        <v>1750</v>
      </c>
      <c r="F47" t="s">
        <v>21</v>
      </c>
      <c r="G47" t="s">
        <v>12</v>
      </c>
      <c r="H47" t="s">
        <v>77</v>
      </c>
    </row>
    <row r="48" spans="1:8" x14ac:dyDescent="0.35">
      <c r="A48" t="s">
        <v>83</v>
      </c>
      <c r="B48" s="1">
        <v>46160</v>
      </c>
      <c r="C48" t="s">
        <v>31</v>
      </c>
      <c r="D48" t="s">
        <v>32</v>
      </c>
      <c r="E48">
        <v>3600</v>
      </c>
      <c r="F48" t="s">
        <v>21</v>
      </c>
      <c r="G48" t="s">
        <v>12</v>
      </c>
      <c r="H48" t="s">
        <v>77</v>
      </c>
    </row>
    <row r="49" spans="1:8" x14ac:dyDescent="0.35">
      <c r="A49" t="s">
        <v>84</v>
      </c>
      <c r="B49" s="1">
        <v>46163</v>
      </c>
      <c r="C49" t="s">
        <v>34</v>
      </c>
      <c r="D49" t="s">
        <v>35</v>
      </c>
      <c r="E49">
        <v>800</v>
      </c>
      <c r="F49" t="s">
        <v>11</v>
      </c>
      <c r="G49" t="s">
        <v>12</v>
      </c>
      <c r="H49" t="s">
        <v>77</v>
      </c>
    </row>
    <row r="50" spans="1:8" x14ac:dyDescent="0.35">
      <c r="A50" t="s">
        <v>85</v>
      </c>
      <c r="B50" s="1">
        <v>46166</v>
      </c>
      <c r="C50" t="s">
        <v>15</v>
      </c>
      <c r="D50" t="s">
        <v>37</v>
      </c>
      <c r="E50">
        <v>949</v>
      </c>
      <c r="F50" t="s">
        <v>11</v>
      </c>
      <c r="G50" t="s">
        <v>17</v>
      </c>
      <c r="H50" t="s">
        <v>77</v>
      </c>
    </row>
    <row r="51" spans="1:8" x14ac:dyDescent="0.35">
      <c r="A51" t="s">
        <v>86</v>
      </c>
      <c r="B51" s="1">
        <v>46169</v>
      </c>
      <c r="C51" t="s">
        <v>9</v>
      </c>
      <c r="D51" t="s">
        <v>39</v>
      </c>
      <c r="E51">
        <v>2300</v>
      </c>
      <c r="F51" t="s">
        <v>21</v>
      </c>
      <c r="G51" t="s">
        <v>17</v>
      </c>
      <c r="H51" t="s">
        <v>77</v>
      </c>
    </row>
    <row r="52" spans="1:8" x14ac:dyDescent="0.35">
      <c r="A52" t="s">
        <v>87</v>
      </c>
      <c r="B52" s="1">
        <v>46175</v>
      </c>
      <c r="C52" t="s">
        <v>9</v>
      </c>
      <c r="D52" t="s">
        <v>10</v>
      </c>
      <c r="E52">
        <v>1350</v>
      </c>
      <c r="F52" t="s">
        <v>11</v>
      </c>
      <c r="G52" t="s">
        <v>12</v>
      </c>
      <c r="H52" t="s">
        <v>13</v>
      </c>
    </row>
    <row r="53" spans="1:8" x14ac:dyDescent="0.35">
      <c r="A53" t="s">
        <v>88</v>
      </c>
      <c r="B53" s="1">
        <v>46178</v>
      </c>
      <c r="C53" t="s">
        <v>15</v>
      </c>
      <c r="D53" t="s">
        <v>16</v>
      </c>
      <c r="E53">
        <v>1480</v>
      </c>
      <c r="F53" t="s">
        <v>11</v>
      </c>
      <c r="G53" t="s">
        <v>17</v>
      </c>
      <c r="H53" t="s">
        <v>13</v>
      </c>
    </row>
    <row r="54" spans="1:8" x14ac:dyDescent="0.35">
      <c r="A54" t="s">
        <v>89</v>
      </c>
      <c r="B54" s="1">
        <v>46181</v>
      </c>
      <c r="C54" t="s">
        <v>19</v>
      </c>
      <c r="D54" t="s">
        <v>20</v>
      </c>
      <c r="E54">
        <v>2950</v>
      </c>
      <c r="F54" t="s">
        <v>21</v>
      </c>
      <c r="G54" t="s">
        <v>12</v>
      </c>
      <c r="H54" t="s">
        <v>13</v>
      </c>
    </row>
    <row r="55" spans="1:8" x14ac:dyDescent="0.35">
      <c r="A55" t="s">
        <v>90</v>
      </c>
      <c r="B55" s="1">
        <v>46184</v>
      </c>
      <c r="C55" t="s">
        <v>9</v>
      </c>
      <c r="D55" t="s">
        <v>23</v>
      </c>
      <c r="E55">
        <v>590</v>
      </c>
      <c r="F55" t="s">
        <v>11</v>
      </c>
      <c r="G55" t="s">
        <v>12</v>
      </c>
      <c r="H55" t="s">
        <v>13</v>
      </c>
    </row>
    <row r="56" spans="1:8" x14ac:dyDescent="0.35">
      <c r="A56" t="s">
        <v>91</v>
      </c>
      <c r="B56" s="1">
        <v>46187</v>
      </c>
      <c r="C56" t="s">
        <v>25</v>
      </c>
      <c r="D56" t="s">
        <v>26</v>
      </c>
      <c r="E56">
        <v>680</v>
      </c>
      <c r="F56" t="s">
        <v>11</v>
      </c>
      <c r="G56" t="s">
        <v>17</v>
      </c>
      <c r="H56" t="s">
        <v>13</v>
      </c>
    </row>
    <row r="57" spans="1:8" x14ac:dyDescent="0.35">
      <c r="A57" t="s">
        <v>92</v>
      </c>
      <c r="B57" s="1">
        <v>46190</v>
      </c>
      <c r="C57" t="s">
        <v>28</v>
      </c>
      <c r="D57" t="s">
        <v>29</v>
      </c>
      <c r="E57">
        <v>1450</v>
      </c>
      <c r="F57" t="s">
        <v>21</v>
      </c>
      <c r="G57" t="s">
        <v>12</v>
      </c>
      <c r="H57" t="s">
        <v>13</v>
      </c>
    </row>
    <row r="58" spans="1:8" x14ac:dyDescent="0.35">
      <c r="A58" t="s">
        <v>93</v>
      </c>
      <c r="B58" s="1">
        <v>46193</v>
      </c>
      <c r="C58" t="s">
        <v>31</v>
      </c>
      <c r="D58" t="s">
        <v>32</v>
      </c>
      <c r="E58">
        <v>3300</v>
      </c>
      <c r="F58" t="s">
        <v>21</v>
      </c>
      <c r="G58" t="s">
        <v>12</v>
      </c>
      <c r="H58" t="s">
        <v>13</v>
      </c>
    </row>
    <row r="59" spans="1:8" x14ac:dyDescent="0.35">
      <c r="A59" t="s">
        <v>94</v>
      </c>
      <c r="B59" s="1">
        <v>46196</v>
      </c>
      <c r="C59" t="s">
        <v>34</v>
      </c>
      <c r="D59" t="s">
        <v>35</v>
      </c>
      <c r="E59">
        <v>700</v>
      </c>
      <c r="F59" t="s">
        <v>11</v>
      </c>
      <c r="G59" t="s">
        <v>12</v>
      </c>
      <c r="H59" t="s">
        <v>13</v>
      </c>
    </row>
    <row r="60" spans="1:8" x14ac:dyDescent="0.35">
      <c r="A60" t="s">
        <v>95</v>
      </c>
      <c r="B60" s="1">
        <v>46199</v>
      </c>
      <c r="C60" t="s">
        <v>15</v>
      </c>
      <c r="D60" t="s">
        <v>37</v>
      </c>
      <c r="E60">
        <v>899</v>
      </c>
      <c r="F60" t="s">
        <v>11</v>
      </c>
      <c r="G60" t="s">
        <v>17</v>
      </c>
      <c r="H60" t="s">
        <v>13</v>
      </c>
    </row>
    <row r="61" spans="1:8" x14ac:dyDescent="0.35">
      <c r="A61" t="s">
        <v>96</v>
      </c>
      <c r="B61" s="1">
        <v>46202</v>
      </c>
      <c r="C61" t="s">
        <v>9</v>
      </c>
      <c r="D61" t="s">
        <v>39</v>
      </c>
      <c r="E61">
        <v>1950</v>
      </c>
      <c r="F61" t="s">
        <v>21</v>
      </c>
      <c r="G61" t="s">
        <v>17</v>
      </c>
      <c r="H61" t="s">
        <v>13</v>
      </c>
    </row>
    <row r="62" spans="1:8" x14ac:dyDescent="0.35">
      <c r="A62" t="s">
        <v>97</v>
      </c>
      <c r="B62" s="1">
        <v>46205</v>
      </c>
      <c r="C62" t="s">
        <v>25</v>
      </c>
      <c r="D62" t="s">
        <v>53</v>
      </c>
      <c r="E62">
        <v>5800</v>
      </c>
      <c r="F62" t="s">
        <v>21</v>
      </c>
      <c r="G62" t="s">
        <v>12</v>
      </c>
      <c r="H62" t="s">
        <v>41</v>
      </c>
    </row>
    <row r="63" spans="1:8" x14ac:dyDescent="0.35">
      <c r="A63" t="s">
        <v>98</v>
      </c>
      <c r="B63" s="1">
        <v>46208</v>
      </c>
      <c r="C63" t="s">
        <v>9</v>
      </c>
      <c r="D63" t="s">
        <v>10</v>
      </c>
      <c r="E63">
        <v>1180</v>
      </c>
      <c r="F63" t="s">
        <v>11</v>
      </c>
      <c r="G63" t="s">
        <v>12</v>
      </c>
      <c r="H63" t="s">
        <v>41</v>
      </c>
    </row>
    <row r="64" spans="1:8" x14ac:dyDescent="0.35">
      <c r="A64" t="s">
        <v>99</v>
      </c>
      <c r="B64" s="1">
        <v>46211</v>
      </c>
      <c r="C64" t="s">
        <v>15</v>
      </c>
      <c r="D64" t="s">
        <v>16</v>
      </c>
      <c r="E64">
        <v>1580</v>
      </c>
      <c r="F64" t="s">
        <v>11</v>
      </c>
      <c r="G64" t="s">
        <v>17</v>
      </c>
      <c r="H64" t="s">
        <v>41</v>
      </c>
    </row>
    <row r="65" spans="1:8" x14ac:dyDescent="0.35">
      <c r="A65" t="s">
        <v>100</v>
      </c>
      <c r="B65" s="1">
        <v>46214</v>
      </c>
      <c r="C65" t="s">
        <v>19</v>
      </c>
      <c r="D65" t="s">
        <v>20</v>
      </c>
      <c r="E65">
        <v>4100</v>
      </c>
      <c r="F65" t="s">
        <v>21</v>
      </c>
      <c r="G65" t="s">
        <v>12</v>
      </c>
      <c r="H65" t="s">
        <v>41</v>
      </c>
    </row>
    <row r="66" spans="1:8" x14ac:dyDescent="0.35">
      <c r="A66" t="s">
        <v>101</v>
      </c>
      <c r="B66" s="1">
        <v>46217</v>
      </c>
      <c r="C66" t="s">
        <v>9</v>
      </c>
      <c r="D66" t="s">
        <v>23</v>
      </c>
      <c r="E66">
        <v>680</v>
      </c>
      <c r="F66" t="s">
        <v>11</v>
      </c>
      <c r="G66" t="s">
        <v>12</v>
      </c>
      <c r="H66" t="s">
        <v>41</v>
      </c>
    </row>
    <row r="67" spans="1:8" x14ac:dyDescent="0.35">
      <c r="A67" t="s">
        <v>102</v>
      </c>
      <c r="B67" s="1">
        <v>46220</v>
      </c>
      <c r="C67" t="s">
        <v>28</v>
      </c>
      <c r="D67" t="s">
        <v>60</v>
      </c>
      <c r="E67">
        <v>1950</v>
      </c>
      <c r="F67" t="s">
        <v>21</v>
      </c>
      <c r="G67" t="s">
        <v>12</v>
      </c>
      <c r="H67" t="s">
        <v>41</v>
      </c>
    </row>
    <row r="68" spans="1:8" x14ac:dyDescent="0.35">
      <c r="A68" t="s">
        <v>103</v>
      </c>
      <c r="B68" s="1">
        <v>46223</v>
      </c>
      <c r="C68" t="s">
        <v>31</v>
      </c>
      <c r="D68" t="s">
        <v>32</v>
      </c>
      <c r="E68">
        <v>4500</v>
      </c>
      <c r="F68" t="s">
        <v>21</v>
      </c>
      <c r="G68" t="s">
        <v>12</v>
      </c>
      <c r="H68" t="s">
        <v>41</v>
      </c>
    </row>
    <row r="69" spans="1:8" x14ac:dyDescent="0.35">
      <c r="A69" t="s">
        <v>104</v>
      </c>
      <c r="B69" s="1">
        <v>46226</v>
      </c>
      <c r="C69" t="s">
        <v>34</v>
      </c>
      <c r="D69" t="s">
        <v>49</v>
      </c>
      <c r="E69">
        <v>2800</v>
      </c>
      <c r="F69" t="s">
        <v>11</v>
      </c>
      <c r="G69" t="s">
        <v>12</v>
      </c>
      <c r="H69" t="s">
        <v>41</v>
      </c>
    </row>
    <row r="70" spans="1:8" x14ac:dyDescent="0.35">
      <c r="A70" t="s">
        <v>105</v>
      </c>
      <c r="B70" s="1">
        <v>46229</v>
      </c>
      <c r="C70" t="s">
        <v>15</v>
      </c>
      <c r="D70" t="s">
        <v>37</v>
      </c>
      <c r="E70">
        <v>999</v>
      </c>
      <c r="F70" t="s">
        <v>11</v>
      </c>
      <c r="G70" t="s">
        <v>17</v>
      </c>
      <c r="H70" t="s">
        <v>41</v>
      </c>
    </row>
    <row r="71" spans="1:8" x14ac:dyDescent="0.35">
      <c r="A71" t="s">
        <v>106</v>
      </c>
      <c r="B71" s="1">
        <v>46232</v>
      </c>
      <c r="C71" t="s">
        <v>9</v>
      </c>
      <c r="D71" t="s">
        <v>39</v>
      </c>
      <c r="E71">
        <v>2500</v>
      </c>
      <c r="F71" t="s">
        <v>21</v>
      </c>
      <c r="G71" t="s">
        <v>17</v>
      </c>
      <c r="H71" t="s">
        <v>41</v>
      </c>
    </row>
    <row r="72" spans="1:8" x14ac:dyDescent="0.35">
      <c r="A72" t="s">
        <v>107</v>
      </c>
      <c r="B72" s="1">
        <v>46236</v>
      </c>
      <c r="C72" t="s">
        <v>9</v>
      </c>
      <c r="D72" t="s">
        <v>10</v>
      </c>
      <c r="E72">
        <v>920</v>
      </c>
      <c r="F72" t="s">
        <v>11</v>
      </c>
      <c r="G72" t="s">
        <v>12</v>
      </c>
      <c r="H72" t="s">
        <v>54</v>
      </c>
    </row>
    <row r="73" spans="1:8" x14ac:dyDescent="0.35">
      <c r="A73" t="s">
        <v>108</v>
      </c>
      <c r="B73" s="1">
        <v>46239</v>
      </c>
      <c r="C73" t="s">
        <v>15</v>
      </c>
      <c r="D73" t="s">
        <v>16</v>
      </c>
      <c r="E73">
        <v>1420</v>
      </c>
      <c r="F73" t="s">
        <v>11</v>
      </c>
      <c r="G73" t="s">
        <v>17</v>
      </c>
      <c r="H73" t="s">
        <v>54</v>
      </c>
    </row>
    <row r="74" spans="1:8" x14ac:dyDescent="0.35">
      <c r="A74" t="s">
        <v>109</v>
      </c>
      <c r="B74" s="1">
        <v>46242</v>
      </c>
      <c r="C74" t="s">
        <v>19</v>
      </c>
      <c r="D74" t="s">
        <v>20</v>
      </c>
      <c r="E74">
        <v>2600</v>
      </c>
      <c r="F74" t="s">
        <v>21</v>
      </c>
      <c r="G74" t="s">
        <v>12</v>
      </c>
      <c r="H74" t="s">
        <v>54</v>
      </c>
    </row>
    <row r="75" spans="1:8" x14ac:dyDescent="0.35">
      <c r="A75" t="s">
        <v>110</v>
      </c>
      <c r="B75" s="1">
        <v>46245</v>
      </c>
      <c r="C75" t="s">
        <v>9</v>
      </c>
      <c r="D75" t="s">
        <v>23</v>
      </c>
      <c r="E75">
        <v>520</v>
      </c>
      <c r="F75" t="s">
        <v>11</v>
      </c>
      <c r="G75" t="s">
        <v>12</v>
      </c>
      <c r="H75" t="s">
        <v>54</v>
      </c>
    </row>
    <row r="76" spans="1:8" x14ac:dyDescent="0.35">
      <c r="A76" t="s">
        <v>111</v>
      </c>
      <c r="B76" s="1">
        <v>46248</v>
      </c>
      <c r="C76" t="s">
        <v>25</v>
      </c>
      <c r="D76" t="s">
        <v>26</v>
      </c>
      <c r="E76">
        <v>720</v>
      </c>
      <c r="F76" t="s">
        <v>11</v>
      </c>
      <c r="G76" t="s">
        <v>17</v>
      </c>
      <c r="H76" t="s">
        <v>54</v>
      </c>
    </row>
    <row r="77" spans="1:8" x14ac:dyDescent="0.35">
      <c r="A77" t="s">
        <v>112</v>
      </c>
      <c r="B77" s="1">
        <v>46251</v>
      </c>
      <c r="C77" t="s">
        <v>28</v>
      </c>
      <c r="D77" t="s">
        <v>29</v>
      </c>
      <c r="E77">
        <v>1550</v>
      </c>
      <c r="F77" t="s">
        <v>21</v>
      </c>
      <c r="G77" t="s">
        <v>12</v>
      </c>
      <c r="H77" t="s">
        <v>54</v>
      </c>
    </row>
    <row r="78" spans="1:8" x14ac:dyDescent="0.35">
      <c r="A78" t="s">
        <v>113</v>
      </c>
      <c r="B78" s="1">
        <v>46254</v>
      </c>
      <c r="C78" t="s">
        <v>31</v>
      </c>
      <c r="D78" t="s">
        <v>32</v>
      </c>
      <c r="E78">
        <v>2900</v>
      </c>
      <c r="F78" t="s">
        <v>21</v>
      </c>
      <c r="G78" t="s">
        <v>12</v>
      </c>
      <c r="H78" t="s">
        <v>54</v>
      </c>
    </row>
    <row r="79" spans="1:8" x14ac:dyDescent="0.35">
      <c r="A79" t="s">
        <v>114</v>
      </c>
      <c r="B79" s="1">
        <v>46257</v>
      </c>
      <c r="C79" t="s">
        <v>34</v>
      </c>
      <c r="D79" t="s">
        <v>35</v>
      </c>
      <c r="E79">
        <v>680</v>
      </c>
      <c r="F79" t="s">
        <v>11</v>
      </c>
      <c r="G79" t="s">
        <v>12</v>
      </c>
      <c r="H79" t="s">
        <v>54</v>
      </c>
    </row>
    <row r="80" spans="1:8" x14ac:dyDescent="0.35">
      <c r="A80" t="s">
        <v>115</v>
      </c>
      <c r="B80" s="1">
        <v>46260</v>
      </c>
      <c r="C80" t="s">
        <v>15</v>
      </c>
      <c r="D80" t="s">
        <v>37</v>
      </c>
      <c r="E80">
        <v>899</v>
      </c>
      <c r="F80" t="s">
        <v>11</v>
      </c>
      <c r="G80" t="s">
        <v>17</v>
      </c>
      <c r="H80" t="s">
        <v>54</v>
      </c>
    </row>
    <row r="81" spans="1:8" x14ac:dyDescent="0.35">
      <c r="A81" t="s">
        <v>116</v>
      </c>
      <c r="B81" s="1">
        <v>46263</v>
      </c>
      <c r="C81" t="s">
        <v>9</v>
      </c>
      <c r="D81" t="s">
        <v>39</v>
      </c>
      <c r="E81">
        <v>2200</v>
      </c>
      <c r="F81" t="s">
        <v>21</v>
      </c>
      <c r="G81" t="s">
        <v>17</v>
      </c>
      <c r="H81" t="s">
        <v>54</v>
      </c>
    </row>
    <row r="82" spans="1:8" x14ac:dyDescent="0.35">
      <c r="A82" t="s">
        <v>117</v>
      </c>
      <c r="B82" s="1">
        <v>46267</v>
      </c>
      <c r="C82" t="s">
        <v>25</v>
      </c>
      <c r="D82" t="s">
        <v>53</v>
      </c>
      <c r="E82">
        <v>6900</v>
      </c>
      <c r="F82" t="s">
        <v>21</v>
      </c>
      <c r="G82" t="s">
        <v>12</v>
      </c>
      <c r="H82" t="s">
        <v>66</v>
      </c>
    </row>
    <row r="83" spans="1:8" x14ac:dyDescent="0.35">
      <c r="A83" t="s">
        <v>118</v>
      </c>
      <c r="B83" s="1">
        <v>46270</v>
      </c>
      <c r="C83" t="s">
        <v>9</v>
      </c>
      <c r="D83" t="s">
        <v>10</v>
      </c>
      <c r="E83">
        <v>1280</v>
      </c>
      <c r="F83" t="s">
        <v>11</v>
      </c>
      <c r="G83" t="s">
        <v>12</v>
      </c>
      <c r="H83" t="s">
        <v>66</v>
      </c>
    </row>
    <row r="84" spans="1:8" x14ac:dyDescent="0.35">
      <c r="A84" t="s">
        <v>119</v>
      </c>
      <c r="B84" s="1">
        <v>46273</v>
      </c>
      <c r="C84" t="s">
        <v>15</v>
      </c>
      <c r="D84" t="s">
        <v>16</v>
      </c>
      <c r="E84">
        <v>1690</v>
      </c>
      <c r="F84" t="s">
        <v>11</v>
      </c>
      <c r="G84" t="s">
        <v>17</v>
      </c>
      <c r="H84" t="s">
        <v>66</v>
      </c>
    </row>
    <row r="85" spans="1:8" x14ac:dyDescent="0.35">
      <c r="A85" t="s">
        <v>120</v>
      </c>
      <c r="B85" s="1">
        <v>46276</v>
      </c>
      <c r="C85" t="s">
        <v>19</v>
      </c>
      <c r="D85" t="s">
        <v>20</v>
      </c>
      <c r="E85">
        <v>3900</v>
      </c>
      <c r="F85" t="s">
        <v>21</v>
      </c>
      <c r="G85" t="s">
        <v>12</v>
      </c>
      <c r="H85" t="s">
        <v>66</v>
      </c>
    </row>
    <row r="86" spans="1:8" x14ac:dyDescent="0.35">
      <c r="A86" t="s">
        <v>121</v>
      </c>
      <c r="B86" s="1">
        <v>46279</v>
      </c>
      <c r="C86" t="s">
        <v>9</v>
      </c>
      <c r="D86" t="s">
        <v>23</v>
      </c>
      <c r="E86">
        <v>780</v>
      </c>
      <c r="F86" t="s">
        <v>11</v>
      </c>
      <c r="G86" t="s">
        <v>12</v>
      </c>
      <c r="H86" t="s">
        <v>66</v>
      </c>
    </row>
    <row r="87" spans="1:8" x14ac:dyDescent="0.35">
      <c r="A87" t="s">
        <v>122</v>
      </c>
      <c r="B87" s="1">
        <v>46282</v>
      </c>
      <c r="C87" t="s">
        <v>28</v>
      </c>
      <c r="D87" t="s">
        <v>29</v>
      </c>
      <c r="E87">
        <v>2100</v>
      </c>
      <c r="F87" t="s">
        <v>21</v>
      </c>
      <c r="G87" t="s">
        <v>12</v>
      </c>
      <c r="H87" t="s">
        <v>66</v>
      </c>
    </row>
    <row r="88" spans="1:8" x14ac:dyDescent="0.35">
      <c r="A88" t="s">
        <v>123</v>
      </c>
      <c r="B88" s="1">
        <v>46285</v>
      </c>
      <c r="C88" t="s">
        <v>31</v>
      </c>
      <c r="D88" t="s">
        <v>32</v>
      </c>
      <c r="E88">
        <v>4300</v>
      </c>
      <c r="F88" t="s">
        <v>21</v>
      </c>
      <c r="G88" t="s">
        <v>12</v>
      </c>
      <c r="H88" t="s">
        <v>66</v>
      </c>
    </row>
    <row r="89" spans="1:8" x14ac:dyDescent="0.35">
      <c r="A89" t="s">
        <v>124</v>
      </c>
      <c r="B89" s="1">
        <v>46288</v>
      </c>
      <c r="C89" t="s">
        <v>34</v>
      </c>
      <c r="D89" t="s">
        <v>35</v>
      </c>
      <c r="E89">
        <v>850</v>
      </c>
      <c r="F89" t="s">
        <v>11</v>
      </c>
      <c r="G89" t="s">
        <v>12</v>
      </c>
      <c r="H89" t="s">
        <v>66</v>
      </c>
    </row>
    <row r="90" spans="1:8" x14ac:dyDescent="0.35">
      <c r="A90" t="s">
        <v>125</v>
      </c>
      <c r="B90" s="1">
        <v>46291</v>
      </c>
      <c r="C90" t="s">
        <v>15</v>
      </c>
      <c r="D90" t="s">
        <v>37</v>
      </c>
      <c r="E90">
        <v>1099</v>
      </c>
      <c r="F90" t="s">
        <v>11</v>
      </c>
      <c r="G90" t="s">
        <v>17</v>
      </c>
      <c r="H90" t="s">
        <v>66</v>
      </c>
    </row>
    <row r="91" spans="1:8" x14ac:dyDescent="0.35">
      <c r="A91" t="s">
        <v>126</v>
      </c>
      <c r="B91" s="1">
        <v>46294</v>
      </c>
      <c r="C91" t="s">
        <v>9</v>
      </c>
      <c r="D91" t="s">
        <v>39</v>
      </c>
      <c r="E91">
        <v>2750</v>
      </c>
      <c r="F91" t="s">
        <v>21</v>
      </c>
      <c r="G91" t="s">
        <v>17</v>
      </c>
      <c r="H91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D464-5574-4DE0-98E2-CEE3C654EB96}">
  <dimension ref="A1:B6"/>
  <sheetViews>
    <sheetView workbookViewId="0">
      <selection activeCell="C3" sqref="C3"/>
    </sheetView>
  </sheetViews>
  <sheetFormatPr defaultRowHeight="14.5" x14ac:dyDescent="0.35"/>
  <cols>
    <col min="1" max="1" width="19.81640625" customWidth="1"/>
  </cols>
  <sheetData>
    <row r="1" spans="1:2" x14ac:dyDescent="0.35">
      <c r="A1" t="s">
        <v>127</v>
      </c>
      <c r="B1" t="s">
        <v>128</v>
      </c>
    </row>
    <row r="2" spans="1:2" ht="15" customHeight="1" x14ac:dyDescent="0.35">
      <c r="A2" s="2" t="s">
        <v>133</v>
      </c>
      <c r="B2">
        <f>SUM(Table1[Amount])</f>
        <v>177901</v>
      </c>
    </row>
    <row r="3" spans="1:2" x14ac:dyDescent="0.35">
      <c r="A3" t="s">
        <v>129</v>
      </c>
      <c r="B3">
        <f>COUNTA(Table1[Transaction_ID])</f>
        <v>90</v>
      </c>
    </row>
    <row r="4" spans="1:2" x14ac:dyDescent="0.35">
      <c r="A4" t="s">
        <v>130</v>
      </c>
      <c r="B4">
        <f>AVERAGE(Table1[Amount])</f>
        <v>1976.6777777777777</v>
      </c>
    </row>
    <row r="5" spans="1:2" x14ac:dyDescent="0.35">
      <c r="A5" t="s">
        <v>131</v>
      </c>
      <c r="B5">
        <f>MAX(Table1[Amount])</f>
        <v>7200</v>
      </c>
    </row>
    <row r="6" spans="1:2" x14ac:dyDescent="0.35">
      <c r="A6" t="s">
        <v>132</v>
      </c>
      <c r="B6">
        <f>MIN(Table1[Amount])</f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spendly_data</vt:lpstr>
      <vt:lpstr>Dashboard Metrics</vt:lpstr>
      <vt:lpstr>SpendlyData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jahnavi sai</cp:lastModifiedBy>
  <dcterms:created xsi:type="dcterms:W3CDTF">2026-10-05T16:32:15Z</dcterms:created>
  <dcterms:modified xsi:type="dcterms:W3CDTF">2026-10-05T16:37:09Z</dcterms:modified>
</cp:coreProperties>
</file>